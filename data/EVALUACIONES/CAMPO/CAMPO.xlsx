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CAMPO\"/>
    </mc:Choice>
  </mc:AlternateContent>
  <xr:revisionPtr revIDLastSave="1" documentId="13_ncr:1_{2FDD9E75-E1B7-4219-8CA3-1E8CA236D576}" xr6:coauthVersionLast="47" xr6:coauthVersionMax="47" xr10:uidLastSave="{C3347057-C931-427F-9C7D-10C705C6384D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11" i="1"/>
  <c r="C13" i="1"/>
  <c r="E14" i="1"/>
  <c r="D14" i="1"/>
  <c r="E15" i="1"/>
  <c r="E2" i="1"/>
  <c r="C11" i="1"/>
  <c r="D15" i="1"/>
  <c r="D7" i="1"/>
  <c r="E6" i="1"/>
  <c r="E3" i="1"/>
  <c r="C15" i="1"/>
  <c r="D5" i="1"/>
  <c r="E9" i="1"/>
  <c r="D13" i="1"/>
  <c r="E5" i="1"/>
  <c r="D9" i="1"/>
  <c r="C10" i="1"/>
  <c r="C5" i="1"/>
  <c r="E10" i="1"/>
  <c r="E7" i="1"/>
  <c r="C12" i="1"/>
  <c r="D8" i="1"/>
  <c r="E12" i="1"/>
  <c r="C7" i="1"/>
  <c r="E4" i="1"/>
  <c r="D6" i="1"/>
  <c r="D4" i="1"/>
  <c r="C6" i="1"/>
  <c r="C8" i="1"/>
  <c r="E11" i="1"/>
  <c r="E8" i="1"/>
  <c r="D10" i="1"/>
  <c r="E13" i="1"/>
  <c r="C4" i="1"/>
  <c r="D2" i="1"/>
  <c r="D3" i="1"/>
  <c r="D12" i="1"/>
  <c r="C2" i="1"/>
  <c r="C14" i="1"/>
  <c r="C9" i="1"/>
</calcChain>
</file>

<file path=xl/sharedStrings.xml><?xml version="1.0" encoding="utf-8"?>
<sst xmlns="http://schemas.openxmlformats.org/spreadsheetml/2006/main" count="34" uniqueCount="34">
  <si>
    <t>Fecha</t>
  </si>
  <si>
    <t>Nombre</t>
  </si>
  <si>
    <t>V_MAX</t>
  </si>
  <si>
    <t>AC_MAX</t>
  </si>
  <si>
    <t>DEC_MAX</t>
  </si>
  <si>
    <t>Francisco_Javier_Marian_Medina</t>
  </si>
  <si>
    <t>Gonzalo_Echavarria</t>
  </si>
  <si>
    <t>Carlos_De_La_Fe_Simon</t>
  </si>
  <si>
    <t>Javier_Caamano_Olmedo</t>
  </si>
  <si>
    <t>Ikki_Muller_Salak</t>
  </si>
  <si>
    <t>Rodri_Sanchez_Ramos</t>
  </si>
  <si>
    <t>Nicolas_Sustacha_Garate</t>
  </si>
  <si>
    <t>Alex_Balbure</t>
  </si>
  <si>
    <t>Mariano_Blazquez_Valles</t>
  </si>
  <si>
    <t>Daniel_Diaz_Alvaro</t>
  </si>
  <si>
    <t>jingshuo_wang</t>
  </si>
  <si>
    <t>Luis_Moliner</t>
  </si>
  <si>
    <t>Gonzalo_Kvisz</t>
  </si>
  <si>
    <t>Alberto_Benedicto_Carpintero</t>
  </si>
  <si>
    <t>Dennis_Medina</t>
  </si>
  <si>
    <t>Jorge_vicaria</t>
  </si>
  <si>
    <t>Tecnica_Sprint</t>
  </si>
  <si>
    <t>Tecnica_COD</t>
  </si>
  <si>
    <t>Jaime_Munoz_Garcia</t>
  </si>
  <si>
    <t>Presley_Osarenkhoe</t>
  </si>
  <si>
    <t>Juan_Manuel_Ruiz</t>
  </si>
  <si>
    <t xml:space="preserve">Ruben_Perez_Curto </t>
  </si>
  <si>
    <t xml:space="preserve">Samuel_Chaparro_Garcia </t>
  </si>
  <si>
    <t>Alex_Palacios</t>
  </si>
  <si>
    <t xml:space="preserve">Marco_Sanchez_Arias </t>
  </si>
  <si>
    <t xml:space="preserve">Petko_Avramov </t>
  </si>
  <si>
    <t xml:space="preserve">Guillermo_Garcia_Lapena </t>
  </si>
  <si>
    <t xml:space="preserve">Noah_Ojo_Barranco </t>
  </si>
  <si>
    <t xml:space="preserve">Alejandro_Garcia_Gumiel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</si>
</sst>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wrapText="1"/>
    </xf>
    <xf numFmtId="0" fontId="4" fillId="0" borderId="0" xfId="0" applyFont="1"/>
    <xf numFmtId="0" fontId="0" fillId="2" borderId="0" xfId="0" applyFill="1"/>
    <xf numFmtId="0" fontId="0" fillId="2" borderId="4" xfId="0" applyFill="1" applyBorder="1"/>
    <xf numFmtId="0" fontId="0" fillId="0" borderId="4" xfId="0" applyBorder="1"/>
  </cellXfs>
  <cellStyles count="1">
    <cellStyle name="Normal" xfId="0" builtinId="0"/>
  </cellStyles>
  <dxfs count="9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10"/>
      </font>
      <fill>
        <patternFill patternType="none">
          <fgColor indexed="64"/>
          <bgColor auto="1"/>
        </patternFill>
      </fill>
    </dxf>
    <dxf>
      <font>
        <sz val="10"/>
      </font>
      <fill>
        <patternFill patternType="none">
          <fgColor indexed="64"/>
          <bgColor auto="1"/>
        </patternFill>
      </fill>
    </dxf>
    <dxf>
      <font>
        <sz val="1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CDBC4-934F-4BB8-8403-1163E6A946CF}" name="Tabla1" displayName="Tabla1" ref="A1:G28" totalsRowShown="0" headerRowDxfId="8" dataDxfId="7">
  <autoFilter ref="A1:G28" xr:uid="{F24D9BFF-4F02-4AC6-9C99-CC9D7330899E}"/>
  <tableColumns count="7">
    <tableColumn id="1" xr3:uid="{B90CC2EA-DED7-4B50-9C01-6648707B7686}" name="Fecha" dataDxfId="6"/>
    <tableColumn id="2" xr3:uid="{49BFBD1B-88C4-49EF-ACC0-907CF6D29923}" name="Nombre" dataDxfId="5"/>
    <tableColumn id="11" xr3:uid="{2485B2B6-1AA4-4901-8B45-87383DB57039}" name="V_MAX" dataDxfId="4"/>
    <tableColumn id="12" xr3:uid="{10A89B76-6E25-4687-86FC-402E5875F343}" name="AC_MAX" dataDxfId="3"/>
    <tableColumn id="13" xr3:uid="{B6A95FF8-2A19-4995-B36D-CAC2D284919B}" name="DEC_MAX" dataDxfId="2"/>
    <tableColumn id="3" xr3:uid="{6F0B8C04-FF29-4644-9965-73441115C769}" name="Tecnica_Sprint" dataDxfId="1"/>
    <tableColumn id="4" xr3:uid="{ED7A1510-B4D4-448C-A7B6-385AEFB0314D}" name="Tecnica_C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H28"/>
  <sheetViews>
    <sheetView tabSelected="1" workbookViewId="0">
      <selection activeCell="A29" sqref="A29:XFD29"/>
    </sheetView>
  </sheetViews>
  <sheetFormatPr baseColWidth="10" defaultRowHeight="14.4" x14ac:dyDescent="0.3"/>
  <cols>
    <col min="2" max="2" width="28.5546875" bestFit="1" customWidth="1"/>
    <col min="6" max="6" width="15.5546875" bestFit="1" customWidth="1"/>
    <col min="7" max="7" width="14.21875" bestFit="1" customWidth="1"/>
    <col min="9" max="9" width="21" bestFit="1" customWidth="1"/>
    <col min="10" max="10" width="21" customWidth="1"/>
  </cols>
  <sheetData>
    <row r="1" spans="1:8" ht="15" thickBot="1" x14ac:dyDescent="0.3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21</v>
      </c>
      <c r="G1" s="3" t="s">
        <v>22</v>
      </c>
      <c r="H1" s="3"/>
    </row>
    <row r="2" spans="1:8" ht="15" thickBot="1" x14ac:dyDescent="0.35">
      <c r="A2" s="1">
        <v>46247</v>
      </c>
      <c r="B2" s="8" t="s">
        <v>8</v>
      </c>
      <c r="C2">
        <f ca="1">Tabla1[[#This Row],[V_MAX]]/1000</f>
        <v>32.944000000000003</v>
      </c>
      <c r="D2">
        <f ca="1">Tabla1[[#This Row],[AC_MAX]]/1000</f>
        <v>5.9340000000000002</v>
      </c>
      <c r="E2">
        <f ca="1">Tabla1[[#This Row],[DEC_MAX]]/1000</f>
        <v>-5.1470000000000002</v>
      </c>
      <c r="F2" s="4">
        <v>2</v>
      </c>
      <c r="G2" s="5">
        <v>1</v>
      </c>
    </row>
    <row r="3" spans="1:8" ht="15" thickBot="1" x14ac:dyDescent="0.35">
      <c r="A3" s="1">
        <v>46247</v>
      </c>
      <c r="B3" s="8" t="s">
        <v>20</v>
      </c>
      <c r="C3">
        <f ca="1">Tabla1[[#This Row],[V_MAX]]/1000</f>
        <v>32.863999999999997</v>
      </c>
      <c r="D3">
        <f ca="1">Tabla1[[#This Row],[AC_MAX]]/1000</f>
        <v>5.4859999999999998</v>
      </c>
      <c r="E3">
        <f ca="1">Tabla1[[#This Row],[DEC_MAX]]/1000</f>
        <v>-5.2220000000000004</v>
      </c>
      <c r="F3" s="6">
        <v>1.5</v>
      </c>
      <c r="G3" s="7">
        <v>2</v>
      </c>
    </row>
    <row r="4" spans="1:8" ht="15" thickBot="1" x14ac:dyDescent="0.35">
      <c r="A4" s="1">
        <v>46247</v>
      </c>
      <c r="B4" s="8" t="s">
        <v>25</v>
      </c>
      <c r="C4">
        <f ca="1">Tabla1[[#This Row],[V_MAX]]/1000</f>
        <v>34.606999999999999</v>
      </c>
      <c r="D4">
        <f ca="1">Tabla1[[#This Row],[AC_MAX]]/1000</f>
        <v>5.4820000000000002</v>
      </c>
      <c r="E4">
        <f ca="1">Tabla1[[#This Row],[DEC_MAX]]/1000</f>
        <v>-5.1340000000000003</v>
      </c>
      <c r="F4">
        <v>1.5</v>
      </c>
      <c r="G4">
        <v>1.1000000000000001</v>
      </c>
    </row>
    <row r="5" spans="1:8" ht="15" thickBot="1" x14ac:dyDescent="0.35">
      <c r="A5" s="1">
        <v>46247</v>
      </c>
      <c r="B5" s="9" t="s">
        <v>26</v>
      </c>
      <c r="C5">
        <f ca="1">Tabla1[[#This Row],[V_MAX]]/1000</f>
        <v>30.888000000000002</v>
      </c>
      <c r="D5">
        <f ca="1">Tabla1[[#This Row],[AC_MAX]]/1000</f>
        <v>5.3680000000000003</v>
      </c>
      <c r="E5">
        <f ca="1">Tabla1[[#This Row],[DEC_MAX]]/1000</f>
        <v>-5.0170000000000003</v>
      </c>
      <c r="F5" s="4">
        <v>2</v>
      </c>
      <c r="G5" s="5">
        <v>2</v>
      </c>
    </row>
    <row r="6" spans="1:8" ht="15" thickBot="1" x14ac:dyDescent="0.35">
      <c r="A6" s="1">
        <v>46247</v>
      </c>
      <c r="B6" s="8" t="s">
        <v>11</v>
      </c>
      <c r="C6">
        <f ca="1">Tabla1[[#This Row],[V_MAX]]/1000</f>
        <v>0</v>
      </c>
      <c r="D6">
        <f ca="1">Tabla1[[#This Row],[AC_MAX]]/1000</f>
        <v>0</v>
      </c>
      <c r="E6">
        <f ca="1">Tabla1[[#This Row],[DEC_MAX]]/1000</f>
        <v>0</v>
      </c>
    </row>
    <row r="7" spans="1:8" ht="15" thickBot="1" x14ac:dyDescent="0.35">
      <c r="A7" s="1">
        <v>46247</v>
      </c>
      <c r="B7" s="8" t="s">
        <v>15</v>
      </c>
      <c r="C7">
        <f ca="1">Tabla1[[#This Row],[V_MAX]]/1000</f>
        <v>33.036999999999999</v>
      </c>
      <c r="D7">
        <f ca="1">Tabla1[[#This Row],[AC_MAX]]/1000</f>
        <v>5.782</v>
      </c>
      <c r="E7">
        <f ca="1">Tabla1[[#This Row],[DEC_MAX]]/1000</f>
        <v>-4.9889999999999999</v>
      </c>
      <c r="F7" s="6">
        <v>1.5</v>
      </c>
      <c r="G7" s="7">
        <v>3</v>
      </c>
    </row>
    <row r="8" spans="1:8" ht="15" thickBot="1" x14ac:dyDescent="0.35">
      <c r="A8" s="1">
        <v>46247</v>
      </c>
      <c r="B8" s="9" t="s">
        <v>27</v>
      </c>
      <c r="C8">
        <f ca="1">Tabla1[[#This Row],[V_MAX]]/1000</f>
        <v>32.753</v>
      </c>
      <c r="D8">
        <f ca="1">Tabla1[[#This Row],[AC_MAX]]/1000</f>
        <v>5.9160000000000004</v>
      </c>
      <c r="E8">
        <f ca="1">Tabla1[[#This Row],[DEC_MAX]]/1000</f>
        <v>-5.4169999999999998</v>
      </c>
      <c r="F8" s="4">
        <v>2</v>
      </c>
      <c r="G8" s="5">
        <v>2</v>
      </c>
    </row>
    <row r="9" spans="1:8" ht="15" thickBot="1" x14ac:dyDescent="0.35">
      <c r="A9" s="1">
        <v>46247</v>
      </c>
      <c r="B9" s="8" t="s">
        <v>17</v>
      </c>
      <c r="C9">
        <f ca="1">Tabla1[[#This Row],[V_MAX]]/1000</f>
        <v>31.553999999999998</v>
      </c>
      <c r="D9">
        <f ca="1">Tabla1[[#This Row],[AC_MAX]]/1000</f>
        <v>6.3620000000000001</v>
      </c>
      <c r="E9">
        <f ca="1">Tabla1[[#This Row],[DEC_MAX]]/1000</f>
        <v>-5.476</v>
      </c>
      <c r="F9" s="4">
        <v>2</v>
      </c>
      <c r="G9" s="5">
        <v>3</v>
      </c>
    </row>
    <row r="10" spans="1:8" ht="15" thickBot="1" x14ac:dyDescent="0.35">
      <c r="A10" s="1">
        <v>46247</v>
      </c>
      <c r="B10" s="8" t="s">
        <v>18</v>
      </c>
      <c r="C10">
        <f ca="1">Tabla1[[#This Row],[V_MAX]]/1000</f>
        <v>32.335000000000001</v>
      </c>
      <c r="D10">
        <f ca="1">Tabla1[[#This Row],[AC_MAX]]/1000</f>
        <v>5.5359999999999996</v>
      </c>
      <c r="E10">
        <f ca="1">Tabla1[[#This Row],[DEC_MAX]]/1000</f>
        <v>-5.4050000000000002</v>
      </c>
      <c r="F10" s="4">
        <v>2</v>
      </c>
      <c r="G10" s="5">
        <v>2</v>
      </c>
    </row>
    <row r="11" spans="1:8" ht="15" thickBot="1" x14ac:dyDescent="0.35">
      <c r="A11" s="1">
        <v>46247</v>
      </c>
      <c r="B11" s="8" t="s">
        <v>12</v>
      </c>
      <c r="C11">
        <f ca="1">Tabla1[[#This Row],[V_MAX]]/1000</f>
        <v>31.946000000000002</v>
      </c>
      <c r="D11">
        <f ca="1">Tabla1[[#This Row],[AC_MAX]]/1000</f>
        <v>5.67</v>
      </c>
      <c r="E11">
        <f ca="1">Tabla1[[#This Row],[DEC_MAX]]/1000</f>
        <v>-5.7140000000000004</v>
      </c>
      <c r="F11" s="6">
        <v>2</v>
      </c>
      <c r="G11" s="7">
        <v>3</v>
      </c>
    </row>
    <row r="12" spans="1:8" ht="15" thickBot="1" x14ac:dyDescent="0.35">
      <c r="A12" s="1">
        <v>46247</v>
      </c>
      <c r="B12" s="8" t="s">
        <v>28</v>
      </c>
      <c r="C12">
        <f ca="1">Tabla1[[#This Row],[V_MAX]]/1000</f>
        <v>33.792999999999999</v>
      </c>
      <c r="D12">
        <f ca="1">Tabla1[[#This Row],[AC_MAX]]/1000</f>
        <v>5.5229999999999997</v>
      </c>
      <c r="E12">
        <f ca="1">Tabla1[[#This Row],[DEC_MAX]]/1000</f>
        <v>-5.56</v>
      </c>
      <c r="F12" s="10">
        <v>2.5</v>
      </c>
      <c r="G12" s="11">
        <v>2.5</v>
      </c>
    </row>
    <row r="13" spans="1:8" ht="15" thickBot="1" x14ac:dyDescent="0.35">
      <c r="A13" s="1">
        <v>46247</v>
      </c>
      <c r="B13" s="9" t="s">
        <v>29</v>
      </c>
      <c r="C13">
        <f ca="1">Tabla1[[#This Row],[V_MAX]]/1000</f>
        <v>31.446000000000002</v>
      </c>
      <c r="D13">
        <f ca="1">Tabla1[[#This Row],[AC_MAX]]/1000</f>
        <v>6.2539999999999996</v>
      </c>
      <c r="E13">
        <f ca="1">Tabla1[[#This Row],[DEC_MAX]]/1000</f>
        <v>-5.79</v>
      </c>
      <c r="F13" s="6">
        <v>1.5</v>
      </c>
      <c r="G13" s="7">
        <v>3</v>
      </c>
    </row>
    <row r="14" spans="1:8" ht="15" thickBot="1" x14ac:dyDescent="0.35">
      <c r="A14" s="1">
        <v>46247</v>
      </c>
      <c r="B14" s="8" t="s">
        <v>5</v>
      </c>
      <c r="C14">
        <f ca="1">Tabla1[[#This Row],[V_MAX]]/1000</f>
        <v>29.847999999999999</v>
      </c>
      <c r="D14">
        <f ca="1">Tabla1[[#This Row],[AC_MAX]]/1000</f>
        <v>5.569</v>
      </c>
      <c r="E14">
        <f ca="1">Tabla1[[#This Row],[DEC_MAX]]/1000</f>
        <v>-5.4749999999999996</v>
      </c>
      <c r="F14" s="6">
        <v>1.5</v>
      </c>
      <c r="G14" s="7">
        <v>1</v>
      </c>
    </row>
    <row r="15" spans="1:8" ht="15" thickBot="1" x14ac:dyDescent="0.35">
      <c r="A15" s="1">
        <v>46247</v>
      </c>
      <c r="B15" s="8" t="s">
        <v>9</v>
      </c>
      <c r="C15">
        <f ca="1">Tabla1[[#This Row],[V_MAX]]/1000</f>
        <v>31.5</v>
      </c>
      <c r="D15">
        <f ca="1">Tabla1[[#This Row],[AC_MAX]]/1000</f>
        <v>5.7389999999999999</v>
      </c>
      <c r="E15">
        <f ca="1">Tabla1[[#This Row],[DEC_MAX]]/1000</f>
        <v>-5.1660000000000004</v>
      </c>
      <c r="F15" s="6">
        <v>2</v>
      </c>
      <c r="G15" s="7">
        <v>2.5</v>
      </c>
    </row>
    <row r="16" spans="1:8" x14ac:dyDescent="0.3">
      <c r="A16" s="1">
        <v>46247</v>
      </c>
      <c r="B16" s="9" t="s">
        <v>30</v>
      </c>
      <c r="C16" s="9">
        <v>34.037999999999997</v>
      </c>
      <c r="D16" s="9">
        <v>5.9050000000000002</v>
      </c>
      <c r="E16" s="9">
        <v>-5.359</v>
      </c>
      <c r="F16" s="6">
        <v>3</v>
      </c>
      <c r="G16" s="7">
        <v>3</v>
      </c>
    </row>
    <row r="17" spans="1:7" x14ac:dyDescent="0.3">
      <c r="A17" s="1">
        <v>46247</v>
      </c>
      <c r="B17" s="2" t="s">
        <v>19</v>
      </c>
      <c r="C17" s="9">
        <v>31.013999999999999</v>
      </c>
      <c r="D17" s="9">
        <v>6.5890000000000004</v>
      </c>
      <c r="E17" s="9">
        <v>-5.2969999999999997</v>
      </c>
      <c r="F17" s="9">
        <v>0.5</v>
      </c>
      <c r="G17" s="12">
        <v>1</v>
      </c>
    </row>
    <row r="18" spans="1:7" ht="15" thickBot="1" x14ac:dyDescent="0.35">
      <c r="A18" s="1">
        <v>46247</v>
      </c>
      <c r="B18" s="9" t="s">
        <v>31</v>
      </c>
      <c r="C18" s="9">
        <v>33.188000000000002</v>
      </c>
      <c r="D18" s="9">
        <v>6.3090000000000002</v>
      </c>
      <c r="E18" s="9">
        <v>-5.6630000000000003</v>
      </c>
      <c r="F18" s="6">
        <v>1.5</v>
      </c>
      <c r="G18" s="7">
        <v>2.5</v>
      </c>
    </row>
    <row r="19" spans="1:7" ht="15" thickBot="1" x14ac:dyDescent="0.35">
      <c r="A19" s="1">
        <v>46247</v>
      </c>
      <c r="B19" s="8" t="s">
        <v>7</v>
      </c>
      <c r="C19" s="9">
        <v>31.391999999999999</v>
      </c>
      <c r="D19" s="9">
        <v>5.3540000000000001</v>
      </c>
      <c r="E19" s="9">
        <v>-5.0030000000000001</v>
      </c>
      <c r="F19" s="6">
        <v>0.5</v>
      </c>
      <c r="G19" s="7">
        <v>2</v>
      </c>
    </row>
    <row r="20" spans="1:7" ht="15" thickBot="1" x14ac:dyDescent="0.35">
      <c r="A20" s="1">
        <v>46247</v>
      </c>
      <c r="B20" s="8" t="s">
        <v>6</v>
      </c>
      <c r="C20" s="9">
        <v>34.451999999999998</v>
      </c>
      <c r="D20" s="9">
        <v>5.7370000000000001</v>
      </c>
      <c r="E20" s="9">
        <v>-5.157</v>
      </c>
      <c r="F20" s="4">
        <v>1</v>
      </c>
      <c r="G20" s="5">
        <v>1.5</v>
      </c>
    </row>
    <row r="21" spans="1:7" ht="15" thickBot="1" x14ac:dyDescent="0.35">
      <c r="A21" s="1">
        <v>46247</v>
      </c>
      <c r="B21" s="8" t="s">
        <v>14</v>
      </c>
      <c r="C21" s="9">
        <v>33.707000000000001</v>
      </c>
      <c r="D21" s="9">
        <v>5.4630000000000001</v>
      </c>
      <c r="E21" s="9">
        <v>-5.319</v>
      </c>
      <c r="F21" s="6">
        <v>2.5</v>
      </c>
      <c r="G21" s="7">
        <v>2</v>
      </c>
    </row>
    <row r="22" spans="1:7" x14ac:dyDescent="0.3">
      <c r="A22" s="1">
        <v>46247</v>
      </c>
      <c r="B22" s="9" t="s">
        <v>32</v>
      </c>
      <c r="C22" s="9">
        <v>31.914000000000001</v>
      </c>
      <c r="D22" s="9">
        <v>5.4569999999999999</v>
      </c>
      <c r="E22" s="9">
        <v>-6.2229999999999999</v>
      </c>
      <c r="F22" s="4">
        <v>1.5</v>
      </c>
      <c r="G22" s="5">
        <v>2</v>
      </c>
    </row>
    <row r="23" spans="1:7" ht="15" thickBot="1" x14ac:dyDescent="0.35">
      <c r="A23" s="1">
        <v>46247</v>
      </c>
      <c r="B23" s="2" t="s">
        <v>24</v>
      </c>
      <c r="C23" s="9">
        <v>34.530999999999999</v>
      </c>
      <c r="D23" s="9">
        <v>5.4649999999999999</v>
      </c>
      <c r="E23" s="9">
        <v>-6.8460000000000001</v>
      </c>
      <c r="F23" s="6">
        <v>2</v>
      </c>
      <c r="G23" s="7">
        <v>2</v>
      </c>
    </row>
    <row r="24" spans="1:7" ht="15" thickBot="1" x14ac:dyDescent="0.35">
      <c r="A24" s="1">
        <v>46247</v>
      </c>
      <c r="B24" s="8" t="s">
        <v>23</v>
      </c>
      <c r="C24" s="9">
        <v>32.926000000000002</v>
      </c>
      <c r="D24" s="9">
        <v>5.423</v>
      </c>
      <c r="E24" s="9">
        <v>-5.3360000000000003</v>
      </c>
      <c r="F24" s="4">
        <v>1.5</v>
      </c>
      <c r="G24" s="5">
        <v>2</v>
      </c>
    </row>
    <row r="25" spans="1:7" x14ac:dyDescent="0.3">
      <c r="A25" s="1">
        <v>46247</v>
      </c>
      <c r="B25" s="9" t="s">
        <v>10</v>
      </c>
      <c r="C25" s="9">
        <v>30.888000000000002</v>
      </c>
      <c r="D25" s="9">
        <v>5.12</v>
      </c>
      <c r="E25" s="9">
        <v>-5.0259999999999998</v>
      </c>
      <c r="F25" s="6">
        <v>1.5</v>
      </c>
      <c r="G25" s="7">
        <v>1</v>
      </c>
    </row>
    <row r="26" spans="1:7" ht="15" thickBot="1" x14ac:dyDescent="0.35">
      <c r="A26" s="1">
        <v>46247</v>
      </c>
      <c r="B26" s="9" t="s">
        <v>33</v>
      </c>
      <c r="C26" s="9">
        <v>31.414000000000001</v>
      </c>
      <c r="D26" s="9">
        <v>5.7859999999999996</v>
      </c>
      <c r="E26" s="9">
        <v>-5.2619999999999996</v>
      </c>
      <c r="F26" s="4">
        <v>1</v>
      </c>
      <c r="G26" s="5">
        <v>2.5</v>
      </c>
    </row>
    <row r="27" spans="1:7" ht="15" thickBot="1" x14ac:dyDescent="0.35">
      <c r="A27" s="1">
        <v>46247</v>
      </c>
      <c r="B27" s="8" t="s">
        <v>16</v>
      </c>
      <c r="C27" s="9">
        <v>32.256</v>
      </c>
      <c r="D27" s="9">
        <v>5.3710000000000004</v>
      </c>
      <c r="E27" s="9">
        <v>-4.9400000000000004</v>
      </c>
      <c r="F27" s="4">
        <v>2</v>
      </c>
      <c r="G27" s="5">
        <v>1</v>
      </c>
    </row>
    <row r="28" spans="1:7" x14ac:dyDescent="0.3">
      <c r="A28" s="1">
        <v>46247</v>
      </c>
      <c r="B28" s="2" t="s">
        <v>13</v>
      </c>
      <c r="C28" s="9">
        <v>29.74</v>
      </c>
      <c r="D28" s="9">
        <v>5.4260000000000002</v>
      </c>
      <c r="E28" s="9">
        <v>-5.1349999999999998</v>
      </c>
      <c r="F28" s="4">
        <v>1</v>
      </c>
      <c r="G28" s="5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2026-10-02T08:16:43Z</dcterms:modified>
</cp:coreProperties>
</file>